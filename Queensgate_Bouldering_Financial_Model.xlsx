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cardowebb/Downloads/"/>
    </mc:Choice>
  </mc:AlternateContent>
  <xr:revisionPtr revIDLastSave="0" documentId="8_{E1F2E613-DECA-594C-ACFA-0245B460EA1A}" xr6:coauthVersionLast="47" xr6:coauthVersionMax="47" xr10:uidLastSave="{00000000-0000-0000-0000-000000000000}"/>
  <bookViews>
    <workbookView xWindow="5580" yWindow="2300" windowWidth="27640" windowHeight="16940" xr2:uid="{88ADFEA4-B9F8-A94B-BE77-368E0B43F12E}"/>
  </bookViews>
  <sheets>
    <sheet name="queensgate_bouldering_prove (2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E2" i="1"/>
  <c r="F2" i="1"/>
  <c r="C8" i="1"/>
  <c r="C13" i="1"/>
  <c r="D13" i="1"/>
  <c r="E13" i="1"/>
  <c r="F13" i="1"/>
  <c r="C18" i="1"/>
  <c r="D18" i="1"/>
  <c r="E18" i="1"/>
  <c r="F18" i="1"/>
  <c r="C24" i="1"/>
  <c r="D24" i="1"/>
  <c r="E24" i="1"/>
  <c r="F24" i="1"/>
  <c r="C32" i="1"/>
  <c r="D32" i="1"/>
  <c r="E32" i="1"/>
  <c r="F32" i="1"/>
  <c r="C38" i="1"/>
  <c r="D38" i="1"/>
  <c r="E38" i="1"/>
  <c r="F38" i="1"/>
</calcChain>
</file>

<file path=xl/sharedStrings.xml><?xml version="1.0" encoding="utf-8"?>
<sst xmlns="http://schemas.openxmlformats.org/spreadsheetml/2006/main" count="129" uniqueCount="106">
  <si>
    <t>Supplier Quote</t>
  </si>
  <si>
    <t>CAPEX_MEZZANINE</t>
  </si>
  <si>
    <t>Standard</t>
  </si>
  <si>
    <t>LOAN_TERM</t>
  </si>
  <si>
    <t>Benchmark</t>
  </si>
  <si>
    <t>LOAN_RATE</t>
  </si>
  <si>
    <t>Bank Standard</t>
  </si>
  <si>
    <t>LIQUIDITY_THRESHOLD</t>
  </si>
  <si>
    <t>DSCR_THRESHOLD</t>
  </si>
  <si>
    <t>Derived</t>
  </si>
  <si>
    <t>EBITDA_MARGIN</t>
  </si>
  <si>
    <t>ONS</t>
  </si>
  <si>
    <t>OPEX_INFLATION</t>
  </si>
  <si>
    <t>REVENUE_GROWTH</t>
  </si>
  <si>
    <t>INTEREST_ONLY_MONTHS</t>
  </si>
  <si>
    <t>ARRANGEMENT_FEE</t>
  </si>
  <si>
    <t>Owner Capital</t>
  </si>
  <si>
    <t>EQUITY</t>
  </si>
  <si>
    <t>Financing Assumption</t>
  </si>
  <si>
    <t>BANK_LOAN</t>
  </si>
  <si>
    <t>Business Registration</t>
  </si>
  <si>
    <t>Yes</t>
  </si>
  <si>
    <t>VAT_CLAIM</t>
  </si>
  <si>
    <t>Statutory</t>
  </si>
  <si>
    <t>VAT_RATE</t>
  </si>
  <si>
    <t>Best Practice</t>
  </si>
  <si>
    <t>CAPEX_CONTINGENCY</t>
  </si>
  <si>
    <t>Budget</t>
  </si>
  <si>
    <t>CAPEX_WORKING_CAPITAL</t>
  </si>
  <si>
    <t>CAPEX_BRANDING</t>
  </si>
  <si>
    <t>CAPEX_EQUIPMENT</t>
  </si>
  <si>
    <t>CAPEX_HOLDS</t>
  </si>
  <si>
    <t>CAPEX_MATTING</t>
  </si>
  <si>
    <t>CAPEX_WALLS</t>
  </si>
  <si>
    <t>MAINTENANCE</t>
  </si>
  <si>
    <t>MARKETING</t>
  </si>
  <si>
    <t>INSURANCE</t>
  </si>
  <si>
    <t>Management Estimate</t>
  </si>
  <si>
    <t>SALARIES</t>
  </si>
  <si>
    <t>Minimal printing and admin tools; use Google Workspace or Microsoft 365 personal tier.</t>
  </si>
  <si>
    <t>OFFICE_SUPPLIES_SOFTWARE</t>
  </si>
  <si>
    <t>First-year turnover smaller → ~1 % of ~£175 k revenue. Update automatically in model to scale with sales.</t>
  </si>
  <si>
    <t>BANK_FEES_CARD_PROCESSING</t>
  </si>
  <si>
    <t>Basic one-off legal review of lease, insurance and H&amp;S templates; postpone ongoing retainers until Year 2.</t>
  </si>
  <si>
    <t>LEGAL_HR</t>
  </si>
  <si>
    <t>Year 1: use small local accountant for year-end + self-manage bookkeeping in Xero or QuickBooks.</t>
  </si>
  <si>
    <t>ACCOUNTANCY_BOOKKEEPING</t>
  </si>
  <si>
    <t>TOTAL</t>
  </si>
  <si>
    <t>ADMIN &amp; PROFESSIONAL FEES</t>
  </si>
  <si>
    <t>Run 1–2 open days or collaborations with nearby leisure outlets; minimal spend on prizes and refreshments.</t>
  </si>
  <si>
    <t>COMMUNITY_EVENTS_LOCAL</t>
  </si>
  <si>
    <t>Limited signage and posters; produce materials in-house.</t>
  </si>
  <si>
    <t>PRINT_&amp;_MERCH</t>
  </si>
  <si>
    <t>Use existing Squarespace/WordPress subscription and handle SEO/updates yourself.</t>
  </si>
  <si>
    <t>WEBSITE_HOSTING</t>
  </si>
  <si>
    <t>Year 1 minimal spend: ~£200/month across Meta + Google; rely heavily on organic reach, content, and partnerships.</t>
  </si>
  <si>
    <t>PAID_ADS_ONGOING</t>
  </si>
  <si>
    <t>You’ll handle design and digital ads yourself; cost covers boosted posts, local PR ads, signage, and flyers.</t>
  </si>
  <si>
    <t>LAUNCH_CAMPAIGN</t>
  </si>
  <si>
    <t>Mandatory from Day 1 but fixed low cost.</t>
  </si>
  <si>
    <t>PRS_MUSIC_LICENCE</t>
  </si>
  <si>
    <t>Year 1: use basic POS + single camera system; delay CRM upgrade.</t>
  </si>
  <si>
    <t>IT_SOFTWARE_WIFI_CCTV</t>
  </si>
  <si>
    <t>First-year policy discounts often available; smaller insured contents pre-café.</t>
  </si>
  <si>
    <t>New fit-out should need limited repair; keep minor contingency only.</t>
  </si>
  <si>
    <t>REPAIRS_&amp;_MAINTENANCE</t>
  </si>
  <si>
    <t>Year 1: small-scale contract or part-time cleaner; reduced bin service frequency.</t>
  </si>
  <si>
    <t>CLEANING_&amp;_WASTE</t>
  </si>
  <si>
    <t>Year 1: single LOLER + basic inspections; less equipment volume.</t>
  </si>
  <si>
    <t>EQUIPMENT_&amp;_PPE_TESTING</t>
  </si>
  <si>
    <t>Year 1: 3–4 resets instead of 6, minimal spare holds; use freelance setters at ~£300/day.</t>
  </si>
  <si>
    <t>ROUTE_SETTING_&amp;_HOLDS_REPLACEMENT</t>
  </si>
  <si>
    <t>OPERATING &amp; MAINTENANCE</t>
  </si>
  <si>
    <t>20 % uplift (C/R) covers NI 13.8 %, pension 3 %, holiday/training. 17 % (O) if mostly PT or owner-operated. Based on HMRC employer cost guidance.</t>
  </si>
  <si>
    <t>PAYROLL_NI_HOLIDAY</t>
  </si>
  <si>
    <t>Contracted daily 7 days (C £11k), reduced 5–6 days (R £10k), or part-time shared service (O £9k). Based on UK cleaning contractor rates £10–13/hr.</t>
  </si>
  <si>
    <t>CLEANER_MAINTENANCE</t>
  </si>
  <si>
    <t>25–35 hrs/week coverage; £20k (C) full rota, £18k (R) leaner, £16k (O) shared role or self-check-in system (e.g., Griptonite). Matches small-wall staffing levels.</t>
  </si>
  <si>
    <t>RECEPTION_FRONT_DESK</t>
  </si>
  <si>
    <t>£26k each (C) for qualified CWI instructors; £24k (R) typical regional rate; £22k (O) with mixed part-time or volunteer cover. Based on ABC Climbing Jobs &amp; UK wall benchmarks.</t>
  </si>
  <si>
    <t>CLIMBING_INSTRUCTORS</t>
  </si>
  <si>
    <t>External hire at £35k (C) vs. experienced or founder-managed at £30–32k (R/O). Based on East England gym manager averages (£33–36k). Founder operation reduces cost and improves DSCR.</t>
  </si>
  <si>
    <t>GENERAL_MANAGER</t>
  </si>
  <si>
    <t>STAFFING COSTS</t>
  </si>
  <si>
    <t>Queensgate guidance</t>
  </si>
  <si>
    <t>UTILITIES</t>
  </si>
  <si>
    <t>SERVICE_CHARGE</t>
  </si>
  <si>
    <t>BUSINESS_RATES</t>
  </si>
  <si>
    <t>RENT</t>
  </si>
  <si>
    <t>FIXED PREMISES COSTS</t>
  </si>
  <si>
    <t>STRIP_OUT</t>
  </si>
  <si>
    <t>GENERAL_CONSTRUCTION</t>
  </si>
  <si>
    <t>HOLDS_BUDGET</t>
  </si>
  <si>
    <t>WALLS_&amp;_MATTS</t>
  </si>
  <si>
    <t>CAPITAL EXPENDITURE (SETUP)</t>
  </si>
  <si>
    <t>OTHER_REV_MONTH</t>
  </si>
  <si>
    <t>DAY_PASS_PRICE</t>
  </si>
  <si>
    <t>DAY_PASSES_MONTHLY</t>
  </si>
  <si>
    <t>MEMBERS_PRICE</t>
  </si>
  <si>
    <t>MEMBERS_ MONTHLY</t>
  </si>
  <si>
    <t>REVENUE</t>
  </si>
  <si>
    <t>NOTES</t>
  </si>
  <si>
    <t>Optimistic</t>
  </si>
  <si>
    <t>Realistic</t>
  </si>
  <si>
    <t>Conservative</t>
  </si>
  <si>
    <t>Year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</si>
</sst>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3" fontId="0" fillId="0" borderId="0" xfId="1" applyNumberFormat="1" applyFont="1" applyFill="1" applyAlignment="1">
      <alignment horizontal="center" vertical="center"/>
    </xf>
    <xf numFmtId="3" fontId="0" fillId="0" borderId="0" xfId="0" applyNumberFormat="1" applyAlignment="1">
      <alignment horizontal="center"/>
    </xf>
    <xf numFmtId="3" fontId="4" fillId="0" borderId="0" xfId="0" applyNumberFormat="1" applyFont="1" applyAlignment="1">
      <alignment horizontal="center"/>
    </xf>
    <xf numFmtId="0" fontId="2" fillId="0" borderId="0" xfId="0" applyFont="1"/>
    <xf numFmtId="3" fontId="0" fillId="2" borderId="0" xfId="0" applyNumberFormat="1" applyFill="1" applyAlignment="1">
      <alignment horizontal="center"/>
    </xf>
    <xf numFmtId="3" fontId="4" fillId="3" borderId="1" xfId="0" applyNumberFormat="1" applyFont="1" applyFill="1" applyBorder="1" applyAlignment="1">
      <alignment horizontal="center"/>
    </xf>
    <xf numFmtId="0" fontId="2" fillId="2" borderId="0" xfId="0" applyFont="1" applyFill="1"/>
    <xf numFmtId="0" fontId="0" fillId="2" borderId="0" xfId="0" applyFill="1" applyAlignment="1">
      <alignment vertical="center"/>
    </xf>
    <xf numFmtId="3" fontId="4" fillId="3" borderId="2" xfId="0" applyNumberFormat="1" applyFont="1" applyFill="1" applyBorder="1" applyAlignment="1">
      <alignment horizontal="center"/>
    </xf>
    <xf numFmtId="3" fontId="5" fillId="0" borderId="3" xfId="0" applyNumberFormat="1" applyFont="1" applyBorder="1" applyAlignment="1">
      <alignment horizontal="center" vertical="center"/>
    </xf>
    <xf numFmtId="3" fontId="5" fillId="3" borderId="4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3" fontId="5" fillId="0" borderId="6" xfId="0" applyNumberFormat="1" applyFont="1" applyBorder="1" applyAlignment="1">
      <alignment horizontal="center" vertical="center"/>
    </xf>
    <xf numFmtId="37" fontId="0" fillId="2" borderId="0" xfId="1" applyNumberFormat="1" applyFont="1" applyFill="1" applyAlignment="1">
      <alignment horizontal="center" vertical="center"/>
    </xf>
    <xf numFmtId="3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37" fontId="5" fillId="0" borderId="6" xfId="0" applyNumberFormat="1" applyFont="1" applyBorder="1" applyAlignment="1">
      <alignment horizontal="center" vertical="center"/>
    </xf>
    <xf numFmtId="37" fontId="5" fillId="0" borderId="3" xfId="0" applyNumberFormat="1" applyFont="1" applyBorder="1" applyAlignment="1">
      <alignment horizontal="center" vertical="center"/>
    </xf>
    <xf numFmtId="37" fontId="5" fillId="3" borderId="4" xfId="0" applyNumberFormat="1" applyFont="1" applyFill="1" applyBorder="1" applyAlignment="1">
      <alignment horizontal="center" vertical="center"/>
    </xf>
    <xf numFmtId="37" fontId="0" fillId="3" borderId="2" xfId="1" applyNumberFormat="1" applyFont="1" applyFill="1" applyBorder="1" applyAlignment="1">
      <alignment horizontal="center" vertical="center"/>
    </xf>
    <xf numFmtId="37" fontId="0" fillId="4" borderId="0" xfId="1" applyNumberFormat="1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37" fontId="5" fillId="4" borderId="6" xfId="0" applyNumberFormat="1" applyFont="1" applyFill="1" applyBorder="1" applyAlignment="1">
      <alignment horizontal="center" vertical="center"/>
    </xf>
    <xf numFmtId="37" fontId="5" fillId="4" borderId="3" xfId="0" applyNumberFormat="1" applyFont="1" applyFill="1" applyBorder="1" applyAlignment="1">
      <alignment horizontal="center" vertical="center"/>
    </xf>
    <xf numFmtId="3" fontId="0" fillId="6" borderId="0" xfId="1" applyNumberFormat="1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3" fillId="7" borderId="0" xfId="0" applyFont="1" applyFill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4D5A4-0F11-E145-8B4F-47D5C700C3F6}">
  <dimension ref="A1:G171"/>
  <sheetViews>
    <sheetView tabSelected="1" zoomScale="167" zoomScaleNormal="167" workbookViewId="0">
      <selection activeCell="G2" sqref="G2"/>
    </sheetView>
  </sheetViews>
  <sheetFormatPr baseColWidth="10" defaultRowHeight="16" x14ac:dyDescent="0.2"/>
  <cols>
    <col min="1" max="1" width="27" style="1" customWidth="1"/>
    <col min="2" max="2" width="29.5" style="1" customWidth="1"/>
    <col min="3" max="3" width="10.33203125" style="2" customWidth="1"/>
    <col min="4" max="4" width="12.33203125" style="2" customWidth="1"/>
    <col min="5" max="6" width="10.83203125" style="2"/>
    <col min="7" max="7" width="35.33203125" style="1" customWidth="1"/>
    <col min="8" max="16384" width="10.83203125" style="1"/>
  </cols>
  <sheetData>
    <row r="1" spans="1:7" ht="17" thickBot="1" x14ac:dyDescent="0.25">
      <c r="C1" s="33" t="s">
        <v>105</v>
      </c>
      <c r="D1" s="32" t="s">
        <v>104</v>
      </c>
      <c r="E1" s="32" t="s">
        <v>103</v>
      </c>
      <c r="F1" s="32" t="s">
        <v>102</v>
      </c>
      <c r="G1" s="32" t="s">
        <v>101</v>
      </c>
    </row>
    <row r="2" spans="1:7" ht="17" thickBot="1" x14ac:dyDescent="0.25">
      <c r="A2" s="17" t="s">
        <v>100</v>
      </c>
      <c r="B2" s="16" t="s">
        <v>47</v>
      </c>
      <c r="C2" s="15">
        <f>SUM((C3*C4)+(C5*C6)+C7)*12</f>
        <v>178080</v>
      </c>
      <c r="D2" s="14">
        <f>SUM((D3*D4)+(D5*D6)+D7)*12</f>
        <v>110868</v>
      </c>
      <c r="E2" s="14">
        <f>SUM((E3*E4)+(E5*E6)+E7)*12</f>
        <v>296400</v>
      </c>
      <c r="F2" s="18">
        <f>SUM((F3*F4)+(F5*F6)+F7)*12</f>
        <v>996312</v>
      </c>
    </row>
    <row r="3" spans="1:7" x14ac:dyDescent="0.2">
      <c r="A3" s="31"/>
      <c r="B3" s="31" t="s">
        <v>99</v>
      </c>
      <c r="C3" s="20">
        <v>270</v>
      </c>
      <c r="D3" s="30">
        <v>168</v>
      </c>
      <c r="E3" s="30">
        <v>448</v>
      </c>
      <c r="F3" s="30">
        <v>1512</v>
      </c>
    </row>
    <row r="4" spans="1:7" x14ac:dyDescent="0.2">
      <c r="A4" s="31"/>
      <c r="B4" s="31" t="s">
        <v>98</v>
      </c>
      <c r="C4" s="20">
        <v>42</v>
      </c>
      <c r="D4" s="30">
        <v>42</v>
      </c>
      <c r="E4" s="30">
        <v>45</v>
      </c>
      <c r="F4" s="30">
        <v>48</v>
      </c>
    </row>
    <row r="5" spans="1:7" x14ac:dyDescent="0.2">
      <c r="A5" s="31"/>
      <c r="B5" s="31" t="s">
        <v>97</v>
      </c>
      <c r="C5" s="20">
        <v>250</v>
      </c>
      <c r="D5" s="30">
        <v>160</v>
      </c>
      <c r="E5" s="30">
        <v>320</v>
      </c>
      <c r="F5" s="30">
        <v>630</v>
      </c>
    </row>
    <row r="6" spans="1:7" x14ac:dyDescent="0.2">
      <c r="A6" s="31"/>
      <c r="B6" s="31" t="s">
        <v>96</v>
      </c>
      <c r="C6" s="20">
        <v>12</v>
      </c>
      <c r="D6" s="30">
        <v>10</v>
      </c>
      <c r="E6" s="30">
        <v>12</v>
      </c>
      <c r="F6" s="30">
        <v>15</v>
      </c>
    </row>
    <row r="7" spans="1:7" ht="17" thickBot="1" x14ac:dyDescent="0.25">
      <c r="A7" s="31"/>
      <c r="B7" s="31" t="s">
        <v>95</v>
      </c>
      <c r="C7" s="20">
        <v>500</v>
      </c>
      <c r="D7" s="30">
        <v>583</v>
      </c>
      <c r="E7" s="30">
        <v>700</v>
      </c>
      <c r="F7" s="30">
        <v>1000</v>
      </c>
    </row>
    <row r="8" spans="1:7" ht="17" thickBot="1" x14ac:dyDescent="0.25">
      <c r="A8" s="17" t="s">
        <v>94</v>
      </c>
      <c r="B8" s="16" t="s">
        <v>47</v>
      </c>
      <c r="C8" s="24">
        <f>SUM(C9:C12)</f>
        <v>440000</v>
      </c>
      <c r="D8" s="29"/>
      <c r="E8" s="29"/>
      <c r="F8" s="28"/>
    </row>
    <row r="9" spans="1:7" x14ac:dyDescent="0.2">
      <c r="A9" s="27"/>
      <c r="B9" s="27" t="s">
        <v>93</v>
      </c>
      <c r="C9" s="25">
        <v>300000</v>
      </c>
      <c r="D9" s="26"/>
      <c r="E9" s="26"/>
      <c r="F9" s="26"/>
    </row>
    <row r="10" spans="1:7" x14ac:dyDescent="0.2">
      <c r="A10" s="27"/>
      <c r="B10" s="27" t="s">
        <v>92</v>
      </c>
      <c r="C10" s="25">
        <v>25000</v>
      </c>
      <c r="D10" s="26"/>
      <c r="E10" s="26"/>
      <c r="F10" s="26"/>
    </row>
    <row r="11" spans="1:7" x14ac:dyDescent="0.2">
      <c r="A11" s="27"/>
      <c r="B11" s="27" t="s">
        <v>91</v>
      </c>
      <c r="C11" s="25">
        <v>95000</v>
      </c>
      <c r="D11" s="26"/>
      <c r="E11" s="26"/>
      <c r="F11" s="26"/>
    </row>
    <row r="12" spans="1:7" ht="17" thickBot="1" x14ac:dyDescent="0.25">
      <c r="A12" s="27"/>
      <c r="B12" s="27" t="s">
        <v>90</v>
      </c>
      <c r="C12" s="25">
        <v>20000</v>
      </c>
      <c r="D12" s="26"/>
      <c r="E12" s="26"/>
      <c r="F12" s="26"/>
    </row>
    <row r="13" spans="1:7" ht="17" thickBot="1" x14ac:dyDescent="0.25">
      <c r="A13" s="17" t="s">
        <v>89</v>
      </c>
      <c r="B13" s="16" t="s">
        <v>47</v>
      </c>
      <c r="C13" s="24">
        <f>SUM(C14:C17)</f>
        <v>116850</v>
      </c>
      <c r="D13" s="23">
        <f>SUM(D14:D17)</f>
        <v>186850</v>
      </c>
      <c r="E13" s="23">
        <f>SUM(E14:E17)</f>
        <v>186850</v>
      </c>
      <c r="F13" s="22">
        <f>SUM(F14:F17)</f>
        <v>186850</v>
      </c>
    </row>
    <row r="14" spans="1:7" x14ac:dyDescent="0.2">
      <c r="A14" s="12"/>
      <c r="B14" s="12" t="s">
        <v>88</v>
      </c>
      <c r="C14" s="25">
        <v>0</v>
      </c>
      <c r="D14" s="19">
        <v>70000</v>
      </c>
      <c r="E14" s="19">
        <v>70000</v>
      </c>
      <c r="F14" s="19">
        <v>70000</v>
      </c>
      <c r="G14" s="1" t="s">
        <v>84</v>
      </c>
    </row>
    <row r="15" spans="1:7" x14ac:dyDescent="0.2">
      <c r="A15" s="12"/>
      <c r="B15" s="12" t="s">
        <v>87</v>
      </c>
      <c r="C15" s="25">
        <v>35000</v>
      </c>
      <c r="D15" s="19">
        <v>35000</v>
      </c>
      <c r="E15" s="19">
        <v>35000</v>
      </c>
      <c r="F15" s="19">
        <v>35000</v>
      </c>
      <c r="G15" s="1" t="s">
        <v>84</v>
      </c>
    </row>
    <row r="16" spans="1:7" x14ac:dyDescent="0.2">
      <c r="A16" s="12"/>
      <c r="B16" s="12" t="s">
        <v>86</v>
      </c>
      <c r="C16" s="25">
        <v>57850</v>
      </c>
      <c r="D16" s="19">
        <v>57850</v>
      </c>
      <c r="E16" s="19">
        <v>57850</v>
      </c>
      <c r="F16" s="19">
        <v>57850</v>
      </c>
      <c r="G16" s="1" t="s">
        <v>84</v>
      </c>
    </row>
    <row r="17" spans="1:7" ht="17" thickBot="1" x14ac:dyDescent="0.25">
      <c r="A17" s="12"/>
      <c r="B17" s="12" t="s">
        <v>85</v>
      </c>
      <c r="C17" s="25">
        <v>24000</v>
      </c>
      <c r="D17" s="19">
        <v>24000</v>
      </c>
      <c r="E17" s="19">
        <v>24000</v>
      </c>
      <c r="F17" s="19">
        <v>24000</v>
      </c>
      <c r="G17" s="1" t="s">
        <v>84</v>
      </c>
    </row>
    <row r="18" spans="1:7" ht="17" thickBot="1" x14ac:dyDescent="0.25">
      <c r="A18" s="17" t="s">
        <v>83</v>
      </c>
      <c r="B18" s="16" t="s">
        <v>47</v>
      </c>
      <c r="C18" s="24">
        <f>SUM(C19:C23)</f>
        <v>63500</v>
      </c>
      <c r="D18" s="23">
        <f>SUM(D19:D23)</f>
        <v>141600</v>
      </c>
      <c r="E18" s="23">
        <f>SUM(E19:E23)</f>
        <v>129600</v>
      </c>
      <c r="F18" s="22">
        <f>SUM(F19:F23)</f>
        <v>118800</v>
      </c>
    </row>
    <row r="19" spans="1:7" x14ac:dyDescent="0.2">
      <c r="A19" s="12"/>
      <c r="B19" s="12" t="s">
        <v>82</v>
      </c>
      <c r="C19" s="21">
        <v>30000</v>
      </c>
      <c r="D19" s="19">
        <v>35000</v>
      </c>
      <c r="E19" s="19">
        <v>32000</v>
      </c>
      <c r="F19" s="19">
        <v>30000</v>
      </c>
      <c r="G19" s="1" t="s">
        <v>81</v>
      </c>
    </row>
    <row r="20" spans="1:7" x14ac:dyDescent="0.2">
      <c r="A20" s="12"/>
      <c r="B20" s="12" t="s">
        <v>80</v>
      </c>
      <c r="C20" s="21">
        <v>15000</v>
      </c>
      <c r="D20" s="19">
        <v>52000</v>
      </c>
      <c r="E20" s="19">
        <v>48000</v>
      </c>
      <c r="F20" s="19">
        <v>44000</v>
      </c>
      <c r="G20" s="1" t="s">
        <v>79</v>
      </c>
    </row>
    <row r="21" spans="1:7" x14ac:dyDescent="0.2">
      <c r="A21" s="12"/>
      <c r="B21" s="12" t="s">
        <v>78</v>
      </c>
      <c r="C21" s="21">
        <v>3500</v>
      </c>
      <c r="D21" s="19">
        <v>20000</v>
      </c>
      <c r="E21" s="19">
        <v>18000</v>
      </c>
      <c r="F21" s="19">
        <v>16000</v>
      </c>
      <c r="G21" s="1" t="s">
        <v>77</v>
      </c>
    </row>
    <row r="22" spans="1:7" x14ac:dyDescent="0.2">
      <c r="A22" s="12"/>
      <c r="B22" s="12" t="s">
        <v>76</v>
      </c>
      <c r="C22" s="21">
        <v>7000</v>
      </c>
      <c r="D22" s="19">
        <v>11000</v>
      </c>
      <c r="E22" s="19">
        <v>10000</v>
      </c>
      <c r="F22" s="19">
        <v>9000</v>
      </c>
      <c r="G22" s="1" t="s">
        <v>75</v>
      </c>
    </row>
    <row r="23" spans="1:7" ht="17" thickBot="1" x14ac:dyDescent="0.25">
      <c r="A23" s="12"/>
      <c r="B23" s="12" t="s">
        <v>74</v>
      </c>
      <c r="C23" s="21">
        <v>8000</v>
      </c>
      <c r="D23" s="19">
        <v>23600</v>
      </c>
      <c r="E23" s="19">
        <v>21600</v>
      </c>
      <c r="F23" s="19">
        <v>19800</v>
      </c>
      <c r="G23" s="1" t="s">
        <v>73</v>
      </c>
    </row>
    <row r="24" spans="1:7" ht="17" thickBot="1" x14ac:dyDescent="0.25">
      <c r="A24" s="17" t="s">
        <v>72</v>
      </c>
      <c r="B24" s="16" t="s">
        <v>47</v>
      </c>
      <c r="C24" s="15">
        <f>SUM(C25:C31)</f>
        <v>17850</v>
      </c>
      <c r="D24" s="14">
        <f>SUM(D25:D31)</f>
        <v>30350</v>
      </c>
      <c r="E24" s="14">
        <f>SUM(E25:E31)</f>
        <v>27200</v>
      </c>
      <c r="F24" s="18">
        <f>SUM(F25:F31)</f>
        <v>23550</v>
      </c>
    </row>
    <row r="25" spans="1:7" x14ac:dyDescent="0.2">
      <c r="A25" s="12"/>
      <c r="B25" s="12" t="s">
        <v>71</v>
      </c>
      <c r="C25" s="20">
        <v>4000</v>
      </c>
      <c r="D25" s="19">
        <v>9000</v>
      </c>
      <c r="E25" s="19">
        <v>8000</v>
      </c>
      <c r="F25" s="19">
        <v>7000</v>
      </c>
      <c r="G25" s="1" t="s">
        <v>70</v>
      </c>
    </row>
    <row r="26" spans="1:7" x14ac:dyDescent="0.2">
      <c r="A26" s="12"/>
      <c r="B26" s="12" t="s">
        <v>69</v>
      </c>
      <c r="C26" s="20">
        <v>1200</v>
      </c>
      <c r="D26" s="19">
        <v>1800</v>
      </c>
      <c r="E26" s="19">
        <v>1500</v>
      </c>
      <c r="F26" s="19">
        <v>1200</v>
      </c>
      <c r="G26" s="1" t="s">
        <v>68</v>
      </c>
    </row>
    <row r="27" spans="1:7" x14ac:dyDescent="0.2">
      <c r="A27" s="12"/>
      <c r="B27" s="12" t="s">
        <v>67</v>
      </c>
      <c r="C27" s="20">
        <v>2000</v>
      </c>
      <c r="D27" s="19">
        <v>3500</v>
      </c>
      <c r="E27" s="19">
        <v>3000</v>
      </c>
      <c r="F27" s="19">
        <v>2500</v>
      </c>
      <c r="G27" s="1" t="s">
        <v>66</v>
      </c>
    </row>
    <row r="28" spans="1:7" x14ac:dyDescent="0.2">
      <c r="A28" s="12"/>
      <c r="B28" s="12" t="s">
        <v>65</v>
      </c>
      <c r="C28" s="20">
        <v>2000</v>
      </c>
      <c r="D28" s="19">
        <v>4500</v>
      </c>
      <c r="E28" s="19">
        <v>4000</v>
      </c>
      <c r="F28" s="19">
        <v>3000</v>
      </c>
      <c r="G28" s="1" t="s">
        <v>64</v>
      </c>
    </row>
    <row r="29" spans="1:7" x14ac:dyDescent="0.2">
      <c r="A29" s="12"/>
      <c r="B29" s="12" t="s">
        <v>36</v>
      </c>
      <c r="C29" s="20">
        <v>6500</v>
      </c>
      <c r="D29" s="19">
        <v>8000</v>
      </c>
      <c r="E29" s="19">
        <v>7500</v>
      </c>
      <c r="F29" s="19">
        <v>7000</v>
      </c>
      <c r="G29" s="1" t="s">
        <v>63</v>
      </c>
    </row>
    <row r="30" spans="1:7" x14ac:dyDescent="0.2">
      <c r="A30" s="12"/>
      <c r="B30" s="12" t="s">
        <v>62</v>
      </c>
      <c r="C30" s="20">
        <v>1500</v>
      </c>
      <c r="D30" s="19">
        <v>2800</v>
      </c>
      <c r="E30" s="19">
        <v>2500</v>
      </c>
      <c r="F30" s="19">
        <v>2200</v>
      </c>
      <c r="G30" s="1" t="s">
        <v>61</v>
      </c>
    </row>
    <row r="31" spans="1:7" ht="17" thickBot="1" x14ac:dyDescent="0.25">
      <c r="A31" s="12"/>
      <c r="B31" s="12" t="s">
        <v>60</v>
      </c>
      <c r="C31" s="20">
        <v>650</v>
      </c>
      <c r="D31" s="19">
        <v>750</v>
      </c>
      <c r="E31" s="19">
        <v>700</v>
      </c>
      <c r="F31" s="19">
        <v>650</v>
      </c>
      <c r="G31" s="1" t="s">
        <v>59</v>
      </c>
    </row>
    <row r="32" spans="1:7" ht="17" thickBot="1" x14ac:dyDescent="0.25">
      <c r="A32" s="17" t="s">
        <v>35</v>
      </c>
      <c r="B32" s="16" t="s">
        <v>47</v>
      </c>
      <c r="C32" s="15">
        <f>SUM(C33:C37)</f>
        <v>5700</v>
      </c>
      <c r="D32" s="14">
        <f>SUM(D33:D37)</f>
        <v>16900</v>
      </c>
      <c r="E32" s="14">
        <f>SUM(E33:E37)</f>
        <v>14000</v>
      </c>
      <c r="F32" s="18">
        <f>SUM(F33:F37)</f>
        <v>11300</v>
      </c>
    </row>
    <row r="33" spans="1:7" x14ac:dyDescent="0.2">
      <c r="A33" s="12"/>
      <c r="B33" s="11" t="s">
        <v>58</v>
      </c>
      <c r="C33" s="13">
        <v>1500</v>
      </c>
      <c r="D33" s="9">
        <v>6000</v>
      </c>
      <c r="E33" s="9">
        <v>5000</v>
      </c>
      <c r="F33" s="9">
        <v>4000</v>
      </c>
      <c r="G33" t="s">
        <v>57</v>
      </c>
    </row>
    <row r="34" spans="1:7" x14ac:dyDescent="0.2">
      <c r="A34" s="12"/>
      <c r="B34" s="11" t="s">
        <v>56</v>
      </c>
      <c r="C34" s="13">
        <v>2400</v>
      </c>
      <c r="D34" s="9">
        <v>7200</v>
      </c>
      <c r="E34" s="9">
        <v>6000</v>
      </c>
      <c r="F34" s="9">
        <v>4800</v>
      </c>
      <c r="G34" t="s">
        <v>55</v>
      </c>
    </row>
    <row r="35" spans="1:7" x14ac:dyDescent="0.2">
      <c r="A35" s="12"/>
      <c r="B35" s="11" t="s">
        <v>54</v>
      </c>
      <c r="C35" s="13">
        <v>400</v>
      </c>
      <c r="D35" s="9">
        <v>700</v>
      </c>
      <c r="E35" s="9">
        <v>600</v>
      </c>
      <c r="F35" s="9">
        <v>500</v>
      </c>
      <c r="G35" t="s">
        <v>53</v>
      </c>
    </row>
    <row r="36" spans="1:7" x14ac:dyDescent="0.2">
      <c r="A36" s="12"/>
      <c r="B36" s="11" t="s">
        <v>52</v>
      </c>
      <c r="C36" s="13">
        <v>600</v>
      </c>
      <c r="D36" s="9">
        <v>1500</v>
      </c>
      <c r="E36" s="9">
        <v>1200</v>
      </c>
      <c r="F36" s="9">
        <v>1000</v>
      </c>
      <c r="G36" t="s">
        <v>51</v>
      </c>
    </row>
    <row r="37" spans="1:7" ht="17" thickBot="1" x14ac:dyDescent="0.25">
      <c r="A37" s="12"/>
      <c r="B37" s="11" t="s">
        <v>50</v>
      </c>
      <c r="C37" s="13">
        <v>800</v>
      </c>
      <c r="D37" s="9">
        <v>1500</v>
      </c>
      <c r="E37" s="9">
        <v>1200</v>
      </c>
      <c r="F37" s="9">
        <v>1000</v>
      </c>
      <c r="G37" t="s">
        <v>49</v>
      </c>
    </row>
    <row r="38" spans="1:7" ht="17" thickBot="1" x14ac:dyDescent="0.25">
      <c r="A38" s="17" t="s">
        <v>48</v>
      </c>
      <c r="B38" s="16" t="s">
        <v>47</v>
      </c>
      <c r="C38" s="15">
        <f>SUM(C39:C42)</f>
        <v>4300</v>
      </c>
      <c r="D38" s="14">
        <f>SUM(D39:D42)</f>
        <v>11100</v>
      </c>
      <c r="E38" s="14">
        <f>SUM(E39:E42)</f>
        <v>9800</v>
      </c>
      <c r="F38" s="14">
        <f>SUM(F39:F42)</f>
        <v>8500</v>
      </c>
      <c r="G38"/>
    </row>
    <row r="39" spans="1:7" x14ac:dyDescent="0.2">
      <c r="A39" s="12"/>
      <c r="B39" s="11" t="s">
        <v>46</v>
      </c>
      <c r="C39" s="13">
        <v>1000</v>
      </c>
      <c r="D39" s="9">
        <v>3300</v>
      </c>
      <c r="E39" s="9">
        <v>3000</v>
      </c>
      <c r="F39" s="9">
        <v>2700</v>
      </c>
      <c r="G39" t="s">
        <v>45</v>
      </c>
    </row>
    <row r="40" spans="1:7" x14ac:dyDescent="0.2">
      <c r="A40" s="12"/>
      <c r="B40" s="11" t="s">
        <v>44</v>
      </c>
      <c r="C40" s="13">
        <v>800</v>
      </c>
      <c r="D40" s="9">
        <v>2200</v>
      </c>
      <c r="E40" s="9">
        <v>2000</v>
      </c>
      <c r="F40" s="9">
        <v>1800</v>
      </c>
      <c r="G40" t="s">
        <v>43</v>
      </c>
    </row>
    <row r="41" spans="1:7" x14ac:dyDescent="0.2">
      <c r="A41" s="12"/>
      <c r="B41" s="11" t="s">
        <v>42</v>
      </c>
      <c r="C41" s="13">
        <v>1700</v>
      </c>
      <c r="D41" s="9">
        <v>4200</v>
      </c>
      <c r="E41" s="9">
        <v>3600</v>
      </c>
      <c r="F41" s="9">
        <v>3000</v>
      </c>
      <c r="G41" t="s">
        <v>41</v>
      </c>
    </row>
    <row r="42" spans="1:7" ht="17" thickBot="1" x14ac:dyDescent="0.25">
      <c r="A42" s="12"/>
      <c r="B42" s="11" t="s">
        <v>40</v>
      </c>
      <c r="C42" s="10">
        <v>800</v>
      </c>
      <c r="D42" s="9">
        <v>1400</v>
      </c>
      <c r="E42" s="9">
        <v>1200</v>
      </c>
      <c r="F42" s="9">
        <v>1000</v>
      </c>
      <c r="G42" t="s">
        <v>39</v>
      </c>
    </row>
    <row r="43" spans="1:7" x14ac:dyDescent="0.2">
      <c r="B43" s="8"/>
      <c r="C43" s="7"/>
      <c r="D43" s="6"/>
      <c r="E43" s="6"/>
      <c r="F43" s="6"/>
      <c r="G43"/>
    </row>
    <row r="44" spans="1:7" x14ac:dyDescent="0.2">
      <c r="B44" s="8"/>
      <c r="C44" s="7"/>
      <c r="D44" s="6"/>
      <c r="E44" s="6"/>
      <c r="F44" s="6"/>
      <c r="G44"/>
    </row>
    <row r="45" spans="1:7" x14ac:dyDescent="0.2">
      <c r="B45" s="8"/>
      <c r="C45" s="7"/>
      <c r="D45" s="6"/>
      <c r="E45" s="6"/>
      <c r="F45" s="6"/>
      <c r="G45"/>
    </row>
    <row r="46" spans="1:7" x14ac:dyDescent="0.2">
      <c r="B46" s="8"/>
      <c r="C46" s="7"/>
      <c r="D46" s="6"/>
      <c r="E46" s="6"/>
      <c r="F46" s="6"/>
      <c r="G46"/>
    </row>
    <row r="47" spans="1:7" x14ac:dyDescent="0.2">
      <c r="B47" s="8"/>
      <c r="C47" s="7"/>
      <c r="D47" s="6"/>
      <c r="E47" s="6"/>
      <c r="F47" s="6"/>
      <c r="G47"/>
    </row>
    <row r="48" spans="1:7" x14ac:dyDescent="0.2">
      <c r="B48" s="8"/>
      <c r="C48" s="7"/>
      <c r="D48" s="6"/>
      <c r="E48" s="6"/>
      <c r="F48" s="6"/>
      <c r="G48"/>
    </row>
    <row r="49" spans="2:7" x14ac:dyDescent="0.2">
      <c r="B49" s="8"/>
      <c r="C49" s="7"/>
      <c r="D49" s="6"/>
      <c r="E49" s="6"/>
      <c r="F49" s="6"/>
      <c r="G49"/>
    </row>
    <row r="50" spans="2:7" x14ac:dyDescent="0.2">
      <c r="B50" s="8"/>
      <c r="C50" s="7"/>
      <c r="D50" s="6"/>
      <c r="E50" s="6"/>
      <c r="F50" s="6"/>
      <c r="G50"/>
    </row>
    <row r="51" spans="2:7" x14ac:dyDescent="0.2">
      <c r="B51" s="8"/>
      <c r="C51" s="7"/>
      <c r="D51" s="6"/>
      <c r="E51" s="6"/>
      <c r="F51" s="6"/>
      <c r="G51"/>
    </row>
    <row r="52" spans="2:7" x14ac:dyDescent="0.2">
      <c r="B52" s="8"/>
      <c r="C52" s="7"/>
      <c r="D52" s="6"/>
      <c r="E52" s="6"/>
      <c r="F52" s="6"/>
      <c r="G52"/>
    </row>
    <row r="53" spans="2:7" x14ac:dyDescent="0.2">
      <c r="B53" s="8"/>
      <c r="C53" s="7"/>
      <c r="D53" s="6"/>
      <c r="E53" s="6"/>
      <c r="F53" s="6"/>
      <c r="G53"/>
    </row>
    <row r="54" spans="2:7" x14ac:dyDescent="0.2">
      <c r="B54" s="8"/>
      <c r="C54" s="7"/>
      <c r="D54" s="6"/>
      <c r="E54" s="6"/>
      <c r="F54" s="6"/>
      <c r="G54"/>
    </row>
    <row r="55" spans="2:7" x14ac:dyDescent="0.2">
      <c r="B55" s="8"/>
      <c r="C55" s="7"/>
      <c r="D55" s="6"/>
      <c r="E55" s="6"/>
      <c r="F55" s="6"/>
      <c r="G55"/>
    </row>
    <row r="56" spans="2:7" x14ac:dyDescent="0.2">
      <c r="B56" s="8"/>
      <c r="C56" s="7"/>
      <c r="D56" s="6"/>
      <c r="E56" s="6"/>
      <c r="F56" s="6"/>
      <c r="G56"/>
    </row>
    <row r="57" spans="2:7" x14ac:dyDescent="0.2">
      <c r="B57" s="8"/>
      <c r="C57" s="7"/>
      <c r="D57" s="6"/>
      <c r="E57" s="6"/>
      <c r="F57" s="6"/>
      <c r="G57"/>
    </row>
    <row r="58" spans="2:7" x14ac:dyDescent="0.2">
      <c r="B58" s="8"/>
      <c r="C58" s="7"/>
      <c r="D58" s="6"/>
      <c r="E58" s="6"/>
      <c r="F58" s="6"/>
      <c r="G58"/>
    </row>
    <row r="59" spans="2:7" x14ac:dyDescent="0.2">
      <c r="B59" s="8"/>
      <c r="C59" s="7"/>
      <c r="D59" s="6"/>
      <c r="E59" s="6"/>
      <c r="F59" s="6"/>
      <c r="G59"/>
    </row>
    <row r="60" spans="2:7" x14ac:dyDescent="0.2">
      <c r="B60" s="8"/>
      <c r="C60" s="7"/>
      <c r="D60" s="6"/>
      <c r="E60" s="6"/>
      <c r="F60" s="6"/>
      <c r="G60"/>
    </row>
    <row r="61" spans="2:7" x14ac:dyDescent="0.2">
      <c r="B61" s="8"/>
      <c r="C61" s="7"/>
      <c r="D61" s="6"/>
      <c r="E61" s="6"/>
      <c r="F61" s="6"/>
      <c r="G61"/>
    </row>
    <row r="62" spans="2:7" x14ac:dyDescent="0.2">
      <c r="B62" s="8"/>
      <c r="C62" s="7"/>
      <c r="D62" s="6"/>
      <c r="E62" s="6"/>
      <c r="F62" s="6"/>
      <c r="G62"/>
    </row>
    <row r="63" spans="2:7" x14ac:dyDescent="0.2">
      <c r="C63" s="3"/>
      <c r="D63" s="5"/>
      <c r="E63" s="5"/>
      <c r="F63" s="5"/>
    </row>
    <row r="64" spans="2:7" x14ac:dyDescent="0.2">
      <c r="B64" s="1" t="s">
        <v>38</v>
      </c>
      <c r="C64" s="3"/>
      <c r="D64" s="5">
        <v>112000</v>
      </c>
      <c r="E64" s="5"/>
      <c r="F64" s="5"/>
      <c r="G64" s="1" t="s">
        <v>37</v>
      </c>
    </row>
    <row r="65" spans="2:7" x14ac:dyDescent="0.2">
      <c r="B65" s="1" t="s">
        <v>36</v>
      </c>
      <c r="C65" s="3"/>
      <c r="D65" s="5">
        <v>3000</v>
      </c>
      <c r="E65" s="5"/>
      <c r="F65" s="5"/>
      <c r="G65" s="1" t="s">
        <v>0</v>
      </c>
    </row>
    <row r="66" spans="2:7" x14ac:dyDescent="0.2">
      <c r="B66" s="1" t="s">
        <v>35</v>
      </c>
      <c r="C66" s="3"/>
      <c r="D66" s="5">
        <v>12000</v>
      </c>
      <c r="E66" s="5"/>
      <c r="F66" s="5"/>
      <c r="G66" s="1" t="s">
        <v>27</v>
      </c>
    </row>
    <row r="67" spans="2:7" x14ac:dyDescent="0.2">
      <c r="B67" s="1" t="s">
        <v>34</v>
      </c>
      <c r="C67" s="3"/>
      <c r="D67" s="5">
        <v>10000</v>
      </c>
      <c r="E67" s="5"/>
      <c r="F67" s="5"/>
      <c r="G67" s="1" t="s">
        <v>27</v>
      </c>
    </row>
    <row r="68" spans="2:7" x14ac:dyDescent="0.2">
      <c r="B68" s="1" t="s">
        <v>33</v>
      </c>
      <c r="C68" s="3"/>
      <c r="D68" s="5">
        <v>240000</v>
      </c>
      <c r="E68" s="5"/>
      <c r="F68" s="5"/>
      <c r="G68" s="1" t="s">
        <v>0</v>
      </c>
    </row>
    <row r="69" spans="2:7" x14ac:dyDescent="0.2">
      <c r="B69" s="1" t="s">
        <v>32</v>
      </c>
      <c r="C69" s="3"/>
      <c r="D69" s="5">
        <v>60000</v>
      </c>
      <c r="E69" s="5"/>
      <c r="F69" s="5"/>
      <c r="G69" s="1" t="s">
        <v>0</v>
      </c>
    </row>
    <row r="70" spans="2:7" x14ac:dyDescent="0.2">
      <c r="B70" s="1" t="s">
        <v>31</v>
      </c>
      <c r="C70" s="3"/>
      <c r="D70" s="5">
        <v>25000</v>
      </c>
      <c r="E70" s="5"/>
      <c r="F70" s="5"/>
      <c r="G70" s="1" t="s">
        <v>4</v>
      </c>
    </row>
    <row r="71" spans="2:7" x14ac:dyDescent="0.2">
      <c r="B71" s="1" t="s">
        <v>30</v>
      </c>
      <c r="C71" s="3"/>
      <c r="D71" s="5">
        <v>16500</v>
      </c>
      <c r="E71" s="5"/>
      <c r="F71" s="5"/>
      <c r="G71" s="1" t="s">
        <v>27</v>
      </c>
    </row>
    <row r="72" spans="2:7" x14ac:dyDescent="0.2">
      <c r="B72" s="1" t="s">
        <v>29</v>
      </c>
      <c r="C72" s="3"/>
      <c r="D72" s="5">
        <v>20000</v>
      </c>
      <c r="E72" s="5"/>
      <c r="F72" s="5"/>
      <c r="G72" s="1" t="s">
        <v>27</v>
      </c>
    </row>
    <row r="73" spans="2:7" x14ac:dyDescent="0.2">
      <c r="B73" s="1" t="s">
        <v>28</v>
      </c>
      <c r="C73" s="3"/>
      <c r="D73" s="5">
        <v>20000</v>
      </c>
      <c r="E73" s="5"/>
      <c r="F73" s="5"/>
      <c r="G73" s="1" t="s">
        <v>27</v>
      </c>
    </row>
    <row r="74" spans="2:7" x14ac:dyDescent="0.2">
      <c r="B74" s="1" t="s">
        <v>26</v>
      </c>
      <c r="C74" s="3"/>
      <c r="D74" s="5">
        <v>25000</v>
      </c>
      <c r="E74" s="5"/>
      <c r="F74" s="5"/>
      <c r="G74" s="1" t="s">
        <v>25</v>
      </c>
    </row>
    <row r="75" spans="2:7" x14ac:dyDescent="0.2">
      <c r="B75" s="1" t="s">
        <v>24</v>
      </c>
      <c r="C75" s="3"/>
      <c r="D75" s="5">
        <v>20</v>
      </c>
      <c r="E75" s="5"/>
      <c r="F75" s="5"/>
      <c r="G75" s="1" t="s">
        <v>23</v>
      </c>
    </row>
    <row r="76" spans="2:7" x14ac:dyDescent="0.2">
      <c r="B76" s="1" t="s">
        <v>22</v>
      </c>
      <c r="C76" s="3"/>
      <c r="D76" s="5" t="s">
        <v>21</v>
      </c>
      <c r="E76" s="5"/>
      <c r="F76" s="5"/>
      <c r="G76" s="1" t="s">
        <v>20</v>
      </c>
    </row>
    <row r="77" spans="2:7" x14ac:dyDescent="0.2">
      <c r="B77" s="1" t="s">
        <v>19</v>
      </c>
      <c r="C77" s="3"/>
      <c r="D77" s="5">
        <v>250000</v>
      </c>
      <c r="E77" s="5"/>
      <c r="F77" s="5"/>
      <c r="G77" s="1" t="s">
        <v>18</v>
      </c>
    </row>
    <row r="78" spans="2:7" x14ac:dyDescent="0.2">
      <c r="B78" s="1" t="s">
        <v>17</v>
      </c>
      <c r="C78" s="3"/>
      <c r="D78" s="5">
        <v>230000</v>
      </c>
      <c r="E78" s="5"/>
      <c r="F78" s="5"/>
      <c r="G78" s="1" t="s">
        <v>16</v>
      </c>
    </row>
    <row r="79" spans="2:7" x14ac:dyDescent="0.2">
      <c r="B79" s="1" t="s">
        <v>15</v>
      </c>
      <c r="C79" s="3"/>
      <c r="D79" s="5">
        <v>2</v>
      </c>
      <c r="E79" s="5"/>
      <c r="F79" s="5"/>
      <c r="G79" s="1" t="s">
        <v>4</v>
      </c>
    </row>
    <row r="80" spans="2:7" x14ac:dyDescent="0.2">
      <c r="B80" s="1" t="s">
        <v>14</v>
      </c>
      <c r="C80" s="3"/>
      <c r="D80" s="5">
        <v>6</v>
      </c>
      <c r="E80" s="5"/>
      <c r="F80" s="5"/>
      <c r="G80" s="1" t="s">
        <v>2</v>
      </c>
    </row>
    <row r="81" spans="2:7" x14ac:dyDescent="0.2">
      <c r="B81" s="1" t="s">
        <v>13</v>
      </c>
      <c r="C81" s="3"/>
      <c r="D81" s="5">
        <v>5</v>
      </c>
      <c r="E81" s="5"/>
      <c r="F81" s="5"/>
      <c r="G81" s="1" t="s">
        <v>4</v>
      </c>
    </row>
    <row r="82" spans="2:7" x14ac:dyDescent="0.2">
      <c r="B82" s="1" t="s">
        <v>12</v>
      </c>
      <c r="C82" s="3"/>
      <c r="D82" s="5">
        <v>4</v>
      </c>
      <c r="E82" s="5"/>
      <c r="F82" s="5"/>
      <c r="G82" s="1" t="s">
        <v>11</v>
      </c>
    </row>
    <row r="83" spans="2:7" x14ac:dyDescent="0.2">
      <c r="B83" s="1" t="s">
        <v>10</v>
      </c>
      <c r="C83" s="3"/>
      <c r="D83" s="5">
        <v>25</v>
      </c>
      <c r="E83" s="5"/>
      <c r="F83" s="5"/>
      <c r="G83" s="1" t="s">
        <v>9</v>
      </c>
    </row>
    <row r="84" spans="2:7" x14ac:dyDescent="0.2">
      <c r="B84" s="1" t="s">
        <v>8</v>
      </c>
      <c r="C84" s="3"/>
      <c r="D84" s="5">
        <v>1.2</v>
      </c>
      <c r="E84" s="5"/>
      <c r="F84" s="5"/>
      <c r="G84" s="1" t="s">
        <v>6</v>
      </c>
    </row>
    <row r="85" spans="2:7" x14ac:dyDescent="0.2">
      <c r="B85" s="1" t="s">
        <v>7</v>
      </c>
      <c r="C85" s="3"/>
      <c r="D85" s="5">
        <v>2</v>
      </c>
      <c r="E85" s="5"/>
      <c r="F85" s="5"/>
      <c r="G85" s="1" t="s">
        <v>6</v>
      </c>
    </row>
    <row r="86" spans="2:7" x14ac:dyDescent="0.2">
      <c r="B86" s="1" t="s">
        <v>5</v>
      </c>
      <c r="C86" s="3"/>
      <c r="D86" s="4">
        <v>8</v>
      </c>
      <c r="E86" s="4"/>
      <c r="F86" s="4"/>
      <c r="G86" s="1" t="s">
        <v>4</v>
      </c>
    </row>
    <row r="87" spans="2:7" x14ac:dyDescent="0.2">
      <c r="B87" s="1" t="s">
        <v>3</v>
      </c>
      <c r="C87" s="3"/>
      <c r="D87" s="4">
        <v>7</v>
      </c>
      <c r="E87" s="4"/>
      <c r="F87" s="4"/>
      <c r="G87" s="1" t="s">
        <v>2</v>
      </c>
    </row>
    <row r="88" spans="2:7" x14ac:dyDescent="0.2">
      <c r="C88" s="3"/>
      <c r="D88" s="3"/>
      <c r="E88" s="3"/>
      <c r="F88" s="3"/>
    </row>
    <row r="89" spans="2:7" x14ac:dyDescent="0.2">
      <c r="B89" s="1" t="s">
        <v>1</v>
      </c>
      <c r="C89" s="3"/>
      <c r="D89" s="4">
        <v>120000</v>
      </c>
      <c r="E89" s="4"/>
      <c r="F89" s="4"/>
      <c r="G89" s="1" t="s">
        <v>0</v>
      </c>
    </row>
    <row r="90" spans="2:7" x14ac:dyDescent="0.2">
      <c r="C90" s="3"/>
      <c r="D90" s="3"/>
      <c r="E90" s="3"/>
      <c r="F90" s="3"/>
    </row>
    <row r="91" spans="2:7" x14ac:dyDescent="0.2">
      <c r="C91" s="3"/>
      <c r="D91" s="3"/>
      <c r="E91" s="3"/>
      <c r="F91" s="3"/>
    </row>
    <row r="92" spans="2:7" x14ac:dyDescent="0.2">
      <c r="C92" s="3"/>
      <c r="D92" s="3"/>
      <c r="E92" s="3"/>
      <c r="F92" s="3"/>
    </row>
    <row r="93" spans="2:7" x14ac:dyDescent="0.2">
      <c r="C93" s="3"/>
      <c r="D93" s="3"/>
      <c r="E93" s="3"/>
      <c r="F93" s="3"/>
    </row>
    <row r="94" spans="2:7" x14ac:dyDescent="0.2">
      <c r="C94" s="3"/>
      <c r="D94" s="3"/>
      <c r="E94" s="3"/>
      <c r="F94" s="3"/>
    </row>
    <row r="95" spans="2:7" x14ac:dyDescent="0.2">
      <c r="C95" s="3"/>
      <c r="D95" s="3"/>
      <c r="E95" s="3"/>
      <c r="F95" s="3"/>
    </row>
    <row r="96" spans="2:7" x14ac:dyDescent="0.2">
      <c r="C96" s="3"/>
      <c r="D96" s="3"/>
      <c r="E96" s="3"/>
      <c r="F96" s="3"/>
    </row>
    <row r="97" spans="3:6" x14ac:dyDescent="0.2">
      <c r="C97" s="3"/>
      <c r="D97" s="3"/>
      <c r="E97" s="3"/>
      <c r="F97" s="3"/>
    </row>
    <row r="98" spans="3:6" x14ac:dyDescent="0.2">
      <c r="C98" s="3"/>
      <c r="D98" s="3"/>
      <c r="E98" s="3"/>
      <c r="F98" s="3"/>
    </row>
    <row r="99" spans="3:6" x14ac:dyDescent="0.2">
      <c r="C99" s="3"/>
      <c r="D99" s="3"/>
      <c r="E99" s="3"/>
      <c r="F99" s="3"/>
    </row>
    <row r="100" spans="3:6" x14ac:dyDescent="0.2">
      <c r="C100" s="3"/>
      <c r="D100" s="3"/>
      <c r="E100" s="3"/>
      <c r="F100" s="3"/>
    </row>
    <row r="101" spans="3:6" x14ac:dyDescent="0.2">
      <c r="C101" s="3"/>
      <c r="D101" s="3"/>
      <c r="E101" s="3"/>
      <c r="F101" s="3"/>
    </row>
    <row r="102" spans="3:6" x14ac:dyDescent="0.2">
      <c r="C102" s="3"/>
      <c r="D102" s="3"/>
      <c r="E102" s="3"/>
      <c r="F102" s="3"/>
    </row>
    <row r="103" spans="3:6" x14ac:dyDescent="0.2">
      <c r="C103" s="3"/>
      <c r="D103" s="3"/>
      <c r="E103" s="3"/>
      <c r="F103" s="3"/>
    </row>
    <row r="104" spans="3:6" x14ac:dyDescent="0.2">
      <c r="C104" s="3"/>
      <c r="D104" s="3"/>
      <c r="E104" s="3"/>
      <c r="F104" s="3"/>
    </row>
    <row r="105" spans="3:6" x14ac:dyDescent="0.2">
      <c r="C105" s="3"/>
      <c r="D105" s="3"/>
      <c r="E105" s="3"/>
      <c r="F105" s="3"/>
    </row>
    <row r="106" spans="3:6" x14ac:dyDescent="0.2">
      <c r="C106" s="3"/>
      <c r="D106" s="3"/>
      <c r="E106" s="3"/>
      <c r="F106" s="3"/>
    </row>
    <row r="107" spans="3:6" x14ac:dyDescent="0.2">
      <c r="C107" s="3"/>
      <c r="D107" s="3"/>
      <c r="E107" s="3"/>
      <c r="F107" s="3"/>
    </row>
    <row r="108" spans="3:6" x14ac:dyDescent="0.2">
      <c r="C108" s="3"/>
      <c r="D108" s="3"/>
      <c r="E108" s="3"/>
      <c r="F108" s="3"/>
    </row>
    <row r="109" spans="3:6" x14ac:dyDescent="0.2">
      <c r="C109" s="3"/>
      <c r="D109" s="3"/>
      <c r="E109" s="3"/>
      <c r="F109" s="3"/>
    </row>
    <row r="110" spans="3:6" x14ac:dyDescent="0.2">
      <c r="C110" s="3"/>
      <c r="D110" s="3"/>
      <c r="E110" s="3"/>
      <c r="F110" s="3"/>
    </row>
    <row r="111" spans="3:6" x14ac:dyDescent="0.2">
      <c r="C111" s="3"/>
      <c r="D111" s="3"/>
      <c r="E111" s="3"/>
      <c r="F111" s="3"/>
    </row>
    <row r="112" spans="3:6" x14ac:dyDescent="0.2">
      <c r="C112" s="3"/>
      <c r="D112" s="3"/>
      <c r="E112" s="3"/>
      <c r="F112" s="3"/>
    </row>
    <row r="113" spans="3:6" x14ac:dyDescent="0.2">
      <c r="C113" s="3"/>
      <c r="D113" s="3"/>
      <c r="E113" s="3"/>
      <c r="F113" s="3"/>
    </row>
    <row r="114" spans="3:6" x14ac:dyDescent="0.2">
      <c r="C114" s="3"/>
      <c r="D114" s="3"/>
      <c r="E114" s="3"/>
      <c r="F114" s="3"/>
    </row>
    <row r="115" spans="3:6" x14ac:dyDescent="0.2">
      <c r="C115" s="3"/>
      <c r="D115" s="3"/>
      <c r="E115" s="3"/>
      <c r="F115" s="3"/>
    </row>
    <row r="116" spans="3:6" x14ac:dyDescent="0.2">
      <c r="C116" s="3"/>
      <c r="D116" s="3"/>
      <c r="E116" s="3"/>
      <c r="F116" s="3"/>
    </row>
    <row r="117" spans="3:6" x14ac:dyDescent="0.2">
      <c r="C117" s="3"/>
      <c r="D117" s="3"/>
      <c r="E117" s="3"/>
      <c r="F117" s="3"/>
    </row>
    <row r="118" spans="3:6" x14ac:dyDescent="0.2">
      <c r="C118" s="3"/>
      <c r="D118" s="3"/>
      <c r="E118" s="3"/>
      <c r="F118" s="3"/>
    </row>
    <row r="119" spans="3:6" x14ac:dyDescent="0.2">
      <c r="C119" s="3"/>
      <c r="D119" s="3"/>
      <c r="E119" s="3"/>
      <c r="F119" s="3"/>
    </row>
    <row r="120" spans="3:6" x14ac:dyDescent="0.2">
      <c r="C120" s="3"/>
      <c r="D120" s="3"/>
      <c r="E120" s="3"/>
      <c r="F120" s="3"/>
    </row>
    <row r="121" spans="3:6" x14ac:dyDescent="0.2">
      <c r="C121" s="3"/>
      <c r="D121" s="3"/>
      <c r="E121" s="3"/>
      <c r="F121" s="3"/>
    </row>
    <row r="122" spans="3:6" x14ac:dyDescent="0.2">
      <c r="C122" s="3"/>
      <c r="D122" s="3"/>
      <c r="E122" s="3"/>
      <c r="F122" s="3"/>
    </row>
    <row r="123" spans="3:6" x14ac:dyDescent="0.2">
      <c r="C123" s="3"/>
      <c r="D123" s="3"/>
      <c r="E123" s="3"/>
      <c r="F123" s="3"/>
    </row>
    <row r="124" spans="3:6" x14ac:dyDescent="0.2">
      <c r="C124" s="3"/>
      <c r="D124" s="3"/>
      <c r="E124" s="3"/>
      <c r="F124" s="3"/>
    </row>
    <row r="125" spans="3:6" x14ac:dyDescent="0.2">
      <c r="C125" s="3"/>
      <c r="D125" s="3"/>
      <c r="E125" s="3"/>
      <c r="F125" s="3"/>
    </row>
    <row r="126" spans="3:6" x14ac:dyDescent="0.2">
      <c r="C126" s="3"/>
      <c r="D126" s="3"/>
      <c r="E126" s="3"/>
      <c r="F126" s="3"/>
    </row>
    <row r="127" spans="3:6" x14ac:dyDescent="0.2">
      <c r="C127" s="3"/>
      <c r="D127" s="3"/>
      <c r="E127" s="3"/>
      <c r="F127" s="3"/>
    </row>
    <row r="128" spans="3:6" x14ac:dyDescent="0.2">
      <c r="C128" s="3"/>
      <c r="D128" s="3"/>
      <c r="E128" s="3"/>
      <c r="F128" s="3"/>
    </row>
    <row r="129" spans="3:6" x14ac:dyDescent="0.2">
      <c r="C129" s="3"/>
      <c r="D129" s="3"/>
      <c r="E129" s="3"/>
      <c r="F129" s="3"/>
    </row>
    <row r="130" spans="3:6" x14ac:dyDescent="0.2">
      <c r="C130" s="3"/>
      <c r="D130" s="3"/>
      <c r="E130" s="3"/>
      <c r="F130" s="3"/>
    </row>
    <row r="131" spans="3:6" x14ac:dyDescent="0.2">
      <c r="C131" s="3"/>
      <c r="D131" s="3"/>
      <c r="E131" s="3"/>
      <c r="F131" s="3"/>
    </row>
    <row r="132" spans="3:6" x14ac:dyDescent="0.2">
      <c r="C132" s="3"/>
      <c r="D132" s="3"/>
      <c r="E132" s="3"/>
      <c r="F132" s="3"/>
    </row>
    <row r="133" spans="3:6" x14ac:dyDescent="0.2">
      <c r="C133" s="3"/>
      <c r="D133" s="3"/>
      <c r="E133" s="3"/>
      <c r="F133" s="3"/>
    </row>
    <row r="134" spans="3:6" x14ac:dyDescent="0.2">
      <c r="C134" s="3"/>
      <c r="D134" s="3"/>
      <c r="E134" s="3"/>
      <c r="F134" s="3"/>
    </row>
    <row r="135" spans="3:6" x14ac:dyDescent="0.2">
      <c r="C135" s="3"/>
      <c r="D135" s="3"/>
      <c r="E135" s="3"/>
      <c r="F135" s="3"/>
    </row>
    <row r="136" spans="3:6" x14ac:dyDescent="0.2">
      <c r="C136" s="3"/>
      <c r="D136" s="3"/>
      <c r="E136" s="3"/>
      <c r="F136" s="3"/>
    </row>
    <row r="137" spans="3:6" x14ac:dyDescent="0.2">
      <c r="C137" s="3"/>
      <c r="D137" s="3"/>
      <c r="E137" s="3"/>
      <c r="F137" s="3"/>
    </row>
    <row r="138" spans="3:6" x14ac:dyDescent="0.2">
      <c r="C138" s="3"/>
      <c r="D138" s="3"/>
      <c r="E138" s="3"/>
      <c r="F138" s="3"/>
    </row>
    <row r="139" spans="3:6" x14ac:dyDescent="0.2">
      <c r="C139" s="3"/>
      <c r="D139" s="3"/>
      <c r="E139" s="3"/>
      <c r="F139" s="3"/>
    </row>
    <row r="140" spans="3:6" x14ac:dyDescent="0.2">
      <c r="C140" s="3"/>
      <c r="D140" s="3"/>
      <c r="E140" s="3"/>
      <c r="F140" s="3"/>
    </row>
    <row r="141" spans="3:6" x14ac:dyDescent="0.2">
      <c r="C141" s="3"/>
      <c r="D141" s="3"/>
      <c r="E141" s="3"/>
      <c r="F141" s="3"/>
    </row>
    <row r="142" spans="3:6" x14ac:dyDescent="0.2">
      <c r="C142" s="3"/>
      <c r="D142" s="3"/>
      <c r="E142" s="3"/>
      <c r="F142" s="3"/>
    </row>
    <row r="143" spans="3:6" x14ac:dyDescent="0.2">
      <c r="C143" s="3"/>
      <c r="D143" s="3"/>
      <c r="E143" s="3"/>
      <c r="F143" s="3"/>
    </row>
    <row r="144" spans="3:6" x14ac:dyDescent="0.2">
      <c r="C144" s="3"/>
      <c r="D144" s="3"/>
      <c r="E144" s="3"/>
      <c r="F144" s="3"/>
    </row>
    <row r="145" spans="3:6" x14ac:dyDescent="0.2">
      <c r="C145" s="3"/>
      <c r="D145" s="3"/>
      <c r="E145" s="3"/>
      <c r="F145" s="3"/>
    </row>
    <row r="146" spans="3:6" x14ac:dyDescent="0.2">
      <c r="C146" s="3"/>
      <c r="D146" s="3"/>
      <c r="E146" s="3"/>
      <c r="F146" s="3"/>
    </row>
    <row r="147" spans="3:6" x14ac:dyDescent="0.2">
      <c r="C147" s="3"/>
      <c r="D147" s="3"/>
      <c r="E147" s="3"/>
      <c r="F147" s="3"/>
    </row>
    <row r="148" spans="3:6" x14ac:dyDescent="0.2">
      <c r="C148" s="3"/>
      <c r="D148" s="3"/>
      <c r="E148" s="3"/>
      <c r="F148" s="3"/>
    </row>
    <row r="149" spans="3:6" x14ac:dyDescent="0.2">
      <c r="C149" s="3"/>
      <c r="D149" s="3"/>
      <c r="E149" s="3"/>
      <c r="F149" s="3"/>
    </row>
    <row r="150" spans="3:6" x14ac:dyDescent="0.2">
      <c r="C150" s="3"/>
      <c r="D150" s="3"/>
      <c r="E150" s="3"/>
      <c r="F150" s="3"/>
    </row>
    <row r="151" spans="3:6" x14ac:dyDescent="0.2">
      <c r="C151" s="3"/>
      <c r="D151" s="3"/>
      <c r="E151" s="3"/>
      <c r="F151" s="3"/>
    </row>
    <row r="152" spans="3:6" x14ac:dyDescent="0.2">
      <c r="C152" s="3"/>
      <c r="D152" s="3"/>
      <c r="E152" s="3"/>
      <c r="F152" s="3"/>
    </row>
    <row r="153" spans="3:6" x14ac:dyDescent="0.2">
      <c r="C153" s="3"/>
      <c r="D153" s="3"/>
      <c r="E153" s="3"/>
      <c r="F153" s="3"/>
    </row>
    <row r="154" spans="3:6" x14ac:dyDescent="0.2">
      <c r="C154" s="3"/>
      <c r="D154" s="3"/>
      <c r="E154" s="3"/>
      <c r="F154" s="3"/>
    </row>
    <row r="155" spans="3:6" x14ac:dyDescent="0.2">
      <c r="C155" s="3"/>
      <c r="D155" s="3"/>
      <c r="E155" s="3"/>
      <c r="F155" s="3"/>
    </row>
    <row r="156" spans="3:6" x14ac:dyDescent="0.2">
      <c r="C156" s="3"/>
      <c r="D156" s="3"/>
      <c r="E156" s="3"/>
      <c r="F156" s="3"/>
    </row>
    <row r="157" spans="3:6" x14ac:dyDescent="0.2">
      <c r="C157" s="3"/>
      <c r="D157" s="3"/>
      <c r="E157" s="3"/>
      <c r="F157" s="3"/>
    </row>
    <row r="158" spans="3:6" x14ac:dyDescent="0.2">
      <c r="C158" s="3"/>
      <c r="D158" s="3"/>
      <c r="E158" s="3"/>
      <c r="F158" s="3"/>
    </row>
    <row r="159" spans="3:6" x14ac:dyDescent="0.2">
      <c r="C159" s="3"/>
      <c r="D159" s="3"/>
      <c r="E159" s="3"/>
      <c r="F159" s="3"/>
    </row>
    <row r="160" spans="3:6" x14ac:dyDescent="0.2">
      <c r="C160" s="3"/>
      <c r="D160" s="3"/>
      <c r="E160" s="3"/>
      <c r="F160" s="3"/>
    </row>
    <row r="161" spans="3:6" x14ac:dyDescent="0.2">
      <c r="C161" s="3"/>
      <c r="D161" s="3"/>
      <c r="E161" s="3"/>
      <c r="F161" s="3"/>
    </row>
    <row r="162" spans="3:6" x14ac:dyDescent="0.2">
      <c r="C162" s="3"/>
      <c r="D162" s="3"/>
      <c r="E162" s="3"/>
      <c r="F162" s="3"/>
    </row>
    <row r="163" spans="3:6" x14ac:dyDescent="0.2">
      <c r="C163" s="3"/>
      <c r="D163" s="3"/>
      <c r="E163" s="3"/>
      <c r="F163" s="3"/>
    </row>
    <row r="164" spans="3:6" x14ac:dyDescent="0.2">
      <c r="C164" s="3"/>
      <c r="D164" s="3"/>
      <c r="E164" s="3"/>
      <c r="F164" s="3"/>
    </row>
    <row r="165" spans="3:6" x14ac:dyDescent="0.2">
      <c r="C165" s="3"/>
      <c r="D165" s="3"/>
      <c r="E165" s="3"/>
      <c r="F165" s="3"/>
    </row>
    <row r="166" spans="3:6" x14ac:dyDescent="0.2">
      <c r="C166" s="3"/>
      <c r="D166" s="3"/>
      <c r="E166" s="3"/>
      <c r="F166" s="3"/>
    </row>
    <row r="167" spans="3:6" x14ac:dyDescent="0.2">
      <c r="C167" s="3"/>
      <c r="D167" s="3"/>
      <c r="E167" s="3"/>
      <c r="F167" s="3"/>
    </row>
    <row r="168" spans="3:6" x14ac:dyDescent="0.2">
      <c r="C168" s="3"/>
      <c r="D168" s="3"/>
      <c r="E168" s="3"/>
      <c r="F168" s="3"/>
    </row>
    <row r="169" spans="3:6" x14ac:dyDescent="0.2">
      <c r="C169" s="3"/>
      <c r="D169" s="3"/>
      <c r="E169" s="3"/>
      <c r="F169" s="3"/>
    </row>
    <row r="170" spans="3:6" x14ac:dyDescent="0.2">
      <c r="C170" s="3"/>
      <c r="D170" s="3"/>
      <c r="E170" s="3"/>
      <c r="F170" s="3"/>
    </row>
    <row r="171" spans="3:6" x14ac:dyDescent="0.2">
      <c r="C171" s="3"/>
      <c r="D171" s="3"/>
      <c r="E171" s="3"/>
      <c r="F17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queensgate_bouldering_prove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Webb, Ricc</dc:creator>
  <cp:lastModifiedBy>Webb, Ricc</cp:lastModifiedBy>
  <dcterms:created xsi:type="dcterms:W3CDTF">2025-11-11T09:45:18Z</dcterms:created>
  <dcterms:modified xsi:type="dcterms:W3CDTF">2025-11-11T09:45:42Z</dcterms:modified>
</cp:coreProperties>
</file>